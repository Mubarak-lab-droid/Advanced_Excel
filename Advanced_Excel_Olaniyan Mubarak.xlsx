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255529D-992C-4442-BEF5-6E1C1A1FDA6B}" xr6:coauthVersionLast="47" xr6:coauthVersionMax="47" xr10:uidLastSave="{00000000-0000-0000-0000-000000000000}"/>
  <bookViews>
    <workbookView xWindow="-120" yWindow="-120" windowWidth="20730" windowHeight="11760" tabRatio="808" firstSheet="3" activeTab="7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0" l="1"/>
  <c r="E3" i="9"/>
  <c r="C23" i="8"/>
  <c r="C15" i="8"/>
  <c r="C19" i="8"/>
  <c r="C11" i="8"/>
  <c r="C7" i="8"/>
  <c r="C6" i="8"/>
  <c r="C5" i="8"/>
  <c r="C4" i="8"/>
  <c r="C3" i="8"/>
  <c r="C2" i="8"/>
  <c r="A32" i="7"/>
  <c r="A29" i="7"/>
  <c r="A26" i="7"/>
  <c r="A23" i="7"/>
  <c r="A19" i="7"/>
  <c r="A15" i="7"/>
  <c r="A11" i="7"/>
  <c r="A7" i="7"/>
  <c r="A3" i="7"/>
  <c r="F3" i="6"/>
  <c r="F2" i="6"/>
  <c r="E12" i="5"/>
  <c r="E11" i="5"/>
  <c r="E10" i="5"/>
  <c r="E9" i="5"/>
  <c r="E8" i="5"/>
  <c r="E7" i="5"/>
  <c r="E6" i="5"/>
  <c r="E5" i="5"/>
  <c r="E4" i="5"/>
  <c r="E3" i="5"/>
  <c r="B1048576" i="5"/>
  <c r="E2" i="5"/>
  <c r="B5" i="4"/>
  <c r="B9" i="12"/>
  <c r="C5" i="12"/>
  <c r="D5" i="12"/>
  <c r="E5" i="12"/>
  <c r="B5" i="12"/>
  <c r="E4" i="12"/>
  <c r="C4" i="12"/>
  <c r="D4" i="12"/>
  <c r="B4" i="12"/>
  <c r="E3" i="12"/>
  <c r="E2" i="12"/>
  <c r="A3" i="11"/>
  <c r="B4" i="11"/>
  <c r="B3" i="11"/>
  <c r="A2" i="11"/>
  <c r="A1" i="11"/>
  <c r="B4" i="4"/>
  <c r="F2" i="5"/>
  <c r="D23" i="8"/>
</calcChain>
</file>

<file path=xl/sharedStrings.xml><?xml version="1.0" encoding="utf-8"?>
<sst xmlns="http://schemas.openxmlformats.org/spreadsheetml/2006/main" count="150" uniqueCount="74">
  <si>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</si>
  <si>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</si>
  <si>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</si>
  <si>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</si>
  <si>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</si>
  <si>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</si>
  <si>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</si>
  <si>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</si>
  <si>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</si>
  <si>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</si>
  <si>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</si>
  <si>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</si>
  <si>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</si>
  <si>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</si>
  <si>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</si>
  <si>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</si>
  <si>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</si>
  <si>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</si>
  <si>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</si>
  <si>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</si>
  <si>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</si>
  <si>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</si>
  <si>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</si>
  <si>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</si>
  <si>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</si>
  <si>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</si>
  <si>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</si>
  <si>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</si>
  <si>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</si>
  <si>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</si>
  <si>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</si>
  <si>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</si>
  <si>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</si>
  <si>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</si>
  <si>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</si>
  <si>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</si>
  <si>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</si>
  <si>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</si>
  <si>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</si>
  <si>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</si>
  <si>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</si>
  <si>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</si>
  <si>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</si>
  <si>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</si>
  <si>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</si>
  <si>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</si>
  <si>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</si>
  <si>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</si>
  <si>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</si>
  <si>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</si>
  <si>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</si>
  <si>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</si>
  <si>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</si>
  <si>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</si>
  <si>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</si>
  <si>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</si>
  <si>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</si>
  <si>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</si>
  <si>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</si>
  <si>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</si>
  <si>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</si>
  <si>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</si>
  <si>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</si>
  <si>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</si>
  <si>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</si>
  <si>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</si>
  <si>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</si>
  <si>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</si>
  <si>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</si>
  <si>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</si>
  <si>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</si>
  <si>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</si>
  <si>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</si>
  <si>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oatmeal raisin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</si>
</sst>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15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Normal="100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 t="shared" ref="E3" si="0">B3+C3+D3</f>
        <v>9</v>
      </c>
    </row>
    <row r="4" spans="1:7" x14ac:dyDescent="0.25">
      <c r="A4" s="2" t="s">
        <v>7</v>
      </c>
      <c r="B4">
        <f>B2-B3</f>
        <v>6</v>
      </c>
      <c r="C4">
        <f t="shared" ref="C4:D4" si="1">C2-C3</f>
        <v>5</v>
      </c>
      <c r="D4">
        <f t="shared" si="1"/>
        <v>3</v>
      </c>
      <c r="E4">
        <f>E2-E3</f>
        <v>14</v>
      </c>
    </row>
    <row r="5" spans="1:7" x14ac:dyDescent="0.25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Normal="100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Normal="100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048576"/>
  <sheetViews>
    <sheetView zoomScaleNormal="100" workbookViewId="0">
      <selection activeCell="N23" sqref="N2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6" x14ac:dyDescent="0.25">
      <c r="A1" s="2" t="s">
        <v>13</v>
      </c>
      <c r="B1" s="2" t="s">
        <v>14</v>
      </c>
    </row>
    <row r="2" spans="1:6" x14ac:dyDescent="0.25">
      <c r="A2" t="s">
        <v>0</v>
      </c>
      <c r="B2">
        <v>97</v>
      </c>
      <c r="D2" t="s">
        <v>15</v>
      </c>
      <c r="E2">
        <f>SUM(B2:B8)</f>
        <v>421</v>
      </c>
      <c r="F2" t="str">
        <f ca="1">_xlfn.FORMULATEXT(E2)</f>
        <v>=SUM(B2:B8)</v>
      </c>
    </row>
    <row r="3" spans="1:6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6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6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6" x14ac:dyDescent="0.25">
      <c r="A6" t="s">
        <v>20</v>
      </c>
      <c r="B6">
        <v>52</v>
      </c>
      <c r="D6" t="s">
        <v>21</v>
      </c>
      <c r="E6">
        <f>SMALL(B2:B8,2)</f>
        <v>40</v>
      </c>
    </row>
    <row r="7" spans="1:6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6" x14ac:dyDescent="0.25">
      <c r="A8" t="s">
        <v>24</v>
      </c>
      <c r="B8">
        <v>36</v>
      </c>
      <c r="E8">
        <f>COUNTA(A2:A8)</f>
        <v>7</v>
      </c>
    </row>
    <row r="9" spans="1:6" x14ac:dyDescent="0.25">
      <c r="E9">
        <f>COUNTBLANK(A2:A9)</f>
        <v>1</v>
      </c>
    </row>
    <row r="10" spans="1:6" x14ac:dyDescent="0.25">
      <c r="D10" t="s">
        <v>25</v>
      </c>
      <c r="E10">
        <f>AVERAGE(B2:B8)</f>
        <v>60.142857142857146</v>
      </c>
    </row>
    <row r="11" spans="1:6" x14ac:dyDescent="0.25">
      <c r="D11" t="s">
        <v>26</v>
      </c>
      <c r="E11">
        <f>MEDIAN(B2:B8)</f>
        <v>52</v>
      </c>
    </row>
    <row r="12" spans="1:6" x14ac:dyDescent="0.25">
      <c r="D12" t="s">
        <v>27</v>
      </c>
      <c r="E12">
        <f>MODE(B2:B8)</f>
        <v>52</v>
      </c>
    </row>
    <row r="1048576" spans="2:2" x14ac:dyDescent="0.25">
      <c r="B1048576">
        <f>SUM(B2:B1048575)</f>
        <v>421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Normal="100" workbookViewId="0">
      <selection activeCell="F4" sqref="F4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>
        <f>SUMIFS(C:C,B:B,B2,A:A,A2:A3)</f>
        <v>32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13" zoomScaleNormal="100" workbookViewId="0">
      <selection activeCell="A32" sqref="A32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_xlfn.CONCAT(A10," ",B10,"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A14&amp;B14&amp;C14</f>
        <v>KevinCookieCompany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tr">
        <f>_xlfn.TEXTJOIN(" ",TRUE,A18:C18)</f>
        <v>Kevin Cookie Company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FIND("@",A28)</f>
        <v>4</v>
      </c>
    </row>
    <row r="31" spans="1:3" x14ac:dyDescent="0.25">
      <c r="A31" s="2" t="s">
        <v>56</v>
      </c>
    </row>
    <row r="32" spans="1:3" x14ac:dyDescent="0.2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3" zoomScaleNormal="100" workbookViewId="0">
      <selection activeCell="D23" sqref="D23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  <c r="C2" t="b">
        <f>A2=B2</f>
        <v>0</v>
      </c>
    </row>
    <row r="3" spans="1:3" x14ac:dyDescent="0.25">
      <c r="A3">
        <v>10</v>
      </c>
      <c r="B3">
        <v>5</v>
      </c>
      <c r="C3" t="b">
        <f>A3=B3</f>
        <v>0</v>
      </c>
    </row>
    <row r="4" spans="1:3" x14ac:dyDescent="0.25">
      <c r="B4">
        <v>11</v>
      </c>
      <c r="C4" t="b">
        <f>A3&gt;B3</f>
        <v>1</v>
      </c>
    </row>
    <row r="5" spans="1:3" x14ac:dyDescent="0.25">
      <c r="C5" t="b">
        <f>A3&gt;=B3</f>
        <v>1</v>
      </c>
    </row>
    <row r="6" spans="1:3" x14ac:dyDescent="0.25">
      <c r="C6" t="b">
        <f>A3&lt;B3</f>
        <v>0</v>
      </c>
    </row>
    <row r="7" spans="1:3" x14ac:dyDescent="0.25">
      <c r="C7" t="b">
        <f>OR(A3&gt;B3,A3&gt;B4)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150</v>
      </c>
      <c r="C11" t="str">
        <f>IF(B10&gt;B11,"Chocolate chips","Oatmeal Raisin")</f>
        <v>Oatmeal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str">
        <f>IF(OR(B10&gt;B11,B10&gt;B12),"Yes","No")</f>
        <v>No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IF(E22=A22,B22,IF(E22=A23,B23,IF(E22=A24,B24,"Unknow")))</f>
        <v>5</v>
      </c>
      <c r="D23" t="str">
        <f ca="1">_xlfn.FORMULATEXT(C23)</f>
        <v>=IF(E22=A22,B22,IF(E22=A23,B23,IF(E22=A24,B24,"Unknow")))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6"/>
  <sheetViews>
    <sheetView tabSelected="1" zoomScaleNormal="100" workbookViewId="0">
      <selection activeCell="E7" sqref="E7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25">
      <c r="A2" t="s">
        <v>0</v>
      </c>
      <c r="B2">
        <v>10</v>
      </c>
      <c r="C2">
        <v>4</v>
      </c>
      <c r="E2" t="s">
        <v>68</v>
      </c>
      <c r="F2" t="s">
        <v>73</v>
      </c>
    </row>
    <row r="3" spans="1:6" x14ac:dyDescent="0.25">
      <c r="A3" t="s">
        <v>1</v>
      </c>
      <c r="B3">
        <v>8</v>
      </c>
      <c r="C3">
        <v>3</v>
      </c>
      <c r="E3">
        <f>VLOOKUP(F2,A1:C4,2,FALSE)</f>
        <v>8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70</v>
      </c>
    </row>
    <row r="6" spans="1:6" x14ac:dyDescent="0.25">
      <c r="E6" t="s">
        <v>68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Normal="100" workbookViewId="0">
      <selection activeCell="A5" sqref="A5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46089</v>
      </c>
    </row>
    <row r="4" spans="1:1" x14ac:dyDescent="0.25">
      <c r="A4" s="2" t="s">
        <v>72</v>
      </c>
    </row>
    <row r="5" spans="1:1" x14ac:dyDescent="0.25">
      <c r="A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G9"/>
  <sheetViews>
    <sheetView zoomScaleNormal="100" workbookViewId="0">
      <selection activeCell="G6" sqref="G6"/>
    </sheetView>
  </sheetViews>
  <sheetFormatPr defaultRowHeight="15" x14ac:dyDescent="0.25"/>
  <sheetData>
    <row r="1" spans="1:7" x14ac:dyDescent="0.25">
      <c r="A1" s="9">
        <f>5+4</f>
        <v>9</v>
      </c>
      <c r="B1">
        <v>1</v>
      </c>
    </row>
    <row r="2" spans="1:7" x14ac:dyDescent="0.25">
      <c r="A2" s="9">
        <f>8-2</f>
        <v>6</v>
      </c>
      <c r="B2">
        <v>3</v>
      </c>
    </row>
    <row r="3" spans="1:7" x14ac:dyDescent="0.25">
      <c r="A3" s="9">
        <f>A2+B2</f>
        <v>9</v>
      </c>
      <c r="B3" s="9">
        <f>4+2</f>
        <v>6</v>
      </c>
    </row>
    <row r="4" spans="1:7" x14ac:dyDescent="0.25">
      <c r="A4">
        <v>3</v>
      </c>
      <c r="B4" s="9">
        <f>B3+A3</f>
        <v>15</v>
      </c>
    </row>
    <row r="9" spans="1:7" x14ac:dyDescent="0.25">
      <c r="G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Mubarak Olaniyan</cp:lastModifiedBy>
  <cp:revision/>
  <dcterms:created xsi:type="dcterms:W3CDTF">2022-05-10T22:30:35Z</dcterms:created>
  <dcterms:modified xsi:type="dcterms:W3CDTF">2026-03-08T22:18:34Z</dcterms:modified>
  <cp:category/>
  <cp:contentStatus/>
</cp:coreProperties>
</file>